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7400" windowHeight="9735"/>
  </bookViews>
  <sheets>
    <sheet name="Plan1" sheetId="1" r:id="rId1"/>
    <sheet name="Plan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23" i="1" l="1"/>
  <c r="D16" i="1"/>
  <c r="D12" i="1"/>
  <c r="D9" i="1"/>
  <c r="D31" i="1" l="1"/>
  <c r="D5" i="1"/>
</calcChain>
</file>

<file path=xl/sharedStrings.xml><?xml version="1.0" encoding="utf-8"?>
<sst xmlns="http://schemas.openxmlformats.org/spreadsheetml/2006/main" count="115" uniqueCount="54">
  <si>
    <t>PROJETO: GameVag</t>
  </si>
  <si>
    <t>Integrantes:</t>
  </si>
  <si>
    <t>Atividade</t>
  </si>
  <si>
    <t>Fase RUP</t>
  </si>
  <si>
    <t>%</t>
  </si>
  <si>
    <t>Início</t>
  </si>
  <si>
    <t>Término</t>
  </si>
  <si>
    <t>Projeto Integrador IV</t>
  </si>
  <si>
    <t>Desenvolvimento</t>
  </si>
  <si>
    <t>Estado</t>
  </si>
  <si>
    <t>Data de Término: 30/06/2021</t>
  </si>
  <si>
    <t>A Fazer</t>
  </si>
  <si>
    <t>Bruno Marques França Araújo
Deborah Oliveira da Silva
Matheus Gavelli Soares
Thiago Almeida Gonçalves</t>
  </si>
  <si>
    <t>Responsável</t>
  </si>
  <si>
    <t>Equipe</t>
  </si>
  <si>
    <t>Bruno</t>
  </si>
  <si>
    <t>Deborah</t>
  </si>
  <si>
    <t>Matheus</t>
  </si>
  <si>
    <t>Thiago</t>
  </si>
  <si>
    <t>Bruno/Deborah</t>
  </si>
  <si>
    <t>Bruno/Matheus</t>
  </si>
  <si>
    <t>Bruno/Thiago</t>
  </si>
  <si>
    <t>Deborah/Matheus</t>
  </si>
  <si>
    <t>Deborah/Thiago</t>
  </si>
  <si>
    <t>Matheus/Thiago</t>
  </si>
  <si>
    <t>Feito</t>
  </si>
  <si>
    <t xml:space="preserve">Fazendo </t>
  </si>
  <si>
    <t>Data de Início: 04/03/2021</t>
  </si>
  <si>
    <t>1. Definir Funcionalidades</t>
  </si>
  <si>
    <t>2. Definir Modelo da Arte de Capa</t>
  </si>
  <si>
    <t>3. Atualizar Requisitos Funcionais</t>
  </si>
  <si>
    <t xml:space="preserve">   3.1. Remover Funcionalidades não Usadas</t>
  </si>
  <si>
    <t xml:space="preserve">   3.2. Adequar Funcionalidades Mantidas</t>
  </si>
  <si>
    <t xml:space="preserve">   3.3. Adicionar Funcionalidades Novas</t>
  </si>
  <si>
    <t>4. Implementação de NPC</t>
  </si>
  <si>
    <t xml:space="preserve">   4.1. Inserir NPCs no Mapa</t>
  </si>
  <si>
    <t xml:space="preserve">   4.2. Conversação com NPC</t>
  </si>
  <si>
    <t xml:space="preserve">   4.3. Comportamento dos NPCs</t>
  </si>
  <si>
    <t xml:space="preserve">      4.2.1. NPCs Informativos</t>
  </si>
  <si>
    <t xml:space="preserve">      4.2.2. NPCs com Itens</t>
  </si>
  <si>
    <t xml:space="preserve">      4.2.3. NPCs com Missões</t>
  </si>
  <si>
    <t>5. Implantação de Missão</t>
  </si>
  <si>
    <t>6. Atualização do Cronograma</t>
  </si>
  <si>
    <t>7. Atualização da Documentação</t>
  </si>
  <si>
    <t xml:space="preserve">   1.1. Transições de Cenários</t>
  </si>
  <si>
    <t xml:space="preserve">   1.2. Portas</t>
  </si>
  <si>
    <t xml:space="preserve">   2.1. Esboçar Arte para Menu Principal</t>
  </si>
  <si>
    <t xml:space="preserve">   2.2. Inserir Arte no Jogo</t>
  </si>
  <si>
    <t xml:space="preserve">   5.1. Zonas de Evento</t>
  </si>
  <si>
    <t xml:space="preserve">   5.2. Eventos</t>
  </si>
  <si>
    <t xml:space="preserve">      5.2.2. Gerador de Pontuação</t>
  </si>
  <si>
    <t xml:space="preserve">   7.1. Transferir Tabela de Requisitos Para o Documento de Especificações de Regras de Negócio</t>
  </si>
  <si>
    <t xml:space="preserve">      5.2.1. Formular Desafios e Puzzles</t>
  </si>
  <si>
    <t>8. Desnevolvimento da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</si>
</sst>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Border="1"/>
    <xf numFmtId="0" fontId="3" fillId="0" borderId="0" xfId="0" applyFont="1"/>
    <xf numFmtId="0" fontId="4" fillId="0" borderId="0" xfId="0" applyFont="1" applyFill="1"/>
    <xf numFmtId="0" fontId="2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9" fontId="3" fillId="0" borderId="0" xfId="1" applyFont="1" applyBorder="1" applyAlignment="1">
      <alignment vertical="center"/>
    </xf>
    <xf numFmtId="14" fontId="3" fillId="0" borderId="0" xfId="0" applyNumberFormat="1" applyFont="1" applyBorder="1" applyAlignment="1">
      <alignment vertical="center"/>
    </xf>
    <xf numFmtId="14" fontId="3" fillId="2" borderId="0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0" xfId="0" applyFont="1"/>
    <xf numFmtId="0" fontId="5" fillId="0" borderId="0" xfId="0" applyFont="1" applyBorder="1"/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14" fontId="2" fillId="2" borderId="0" xfId="0" applyNumberFormat="1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9" fontId="2" fillId="0" borderId="0" xfId="1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8" fillId="0" borderId="0" xfId="0" applyFont="1"/>
    <xf numFmtId="0" fontId="2" fillId="0" borderId="7" xfId="0" applyFont="1" applyBorder="1" applyAlignment="1">
      <alignment vertical="center"/>
    </xf>
    <xf numFmtId="14" fontId="2" fillId="0" borderId="7" xfId="0" applyNumberFormat="1" applyFont="1" applyBorder="1" applyAlignment="1">
      <alignment vertical="center"/>
    </xf>
    <xf numFmtId="14" fontId="2" fillId="2" borderId="7" xfId="0" applyNumberFormat="1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9" fontId="2" fillId="0" borderId="7" xfId="1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8" fillId="0" borderId="0" xfId="0" applyFont="1" applyBorder="1"/>
    <xf numFmtId="0" fontId="9" fillId="0" borderId="4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0FF99"/>
      <color rgb="FFFFFF66"/>
      <color rgb="FF99CC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22" zoomScale="90" zoomScaleNormal="90" workbookViewId="0">
      <selection activeCell="A33" sqref="A33"/>
    </sheetView>
  </sheetViews>
  <sheetFormatPr defaultRowHeight="14.25" x14ac:dyDescent="0.2"/>
  <cols>
    <col min="1" max="1" width="57.7109375" style="10" bestFit="1" customWidth="1"/>
    <col min="2" max="2" width="22" style="10" customWidth="1"/>
    <col min="3" max="3" width="10" style="10" bestFit="1" customWidth="1"/>
    <col min="4" max="4" width="11.140625" style="10" bestFit="1" customWidth="1"/>
    <col min="5" max="6" width="12.7109375" style="10" bestFit="1" customWidth="1"/>
    <col min="7" max="7" width="21.28515625" style="10" bestFit="1" customWidth="1"/>
    <col min="8" max="16384" width="9.140625" style="10"/>
  </cols>
  <sheetData>
    <row r="1" spans="1:7" ht="24.75" customHeight="1" x14ac:dyDescent="0.2">
      <c r="A1" s="16" t="s">
        <v>0</v>
      </c>
      <c r="B1" s="40" t="s">
        <v>1</v>
      </c>
      <c r="C1" s="42" t="s">
        <v>12</v>
      </c>
      <c r="D1" s="42"/>
      <c r="E1" s="42"/>
      <c r="F1" s="42"/>
      <c r="G1" s="43"/>
    </row>
    <row r="2" spans="1:7" ht="24.75" customHeight="1" x14ac:dyDescent="0.2">
      <c r="A2" s="17" t="s">
        <v>27</v>
      </c>
      <c r="B2" s="41"/>
      <c r="C2" s="44"/>
      <c r="D2" s="44"/>
      <c r="E2" s="44"/>
      <c r="F2" s="44"/>
      <c r="G2" s="45"/>
    </row>
    <row r="3" spans="1:7" ht="24.75" customHeight="1" x14ac:dyDescent="0.2">
      <c r="A3" s="21" t="s">
        <v>10</v>
      </c>
      <c r="B3" s="41"/>
      <c r="C3" s="44"/>
      <c r="D3" s="44"/>
      <c r="E3" s="44"/>
      <c r="F3" s="44"/>
      <c r="G3" s="45"/>
    </row>
    <row r="4" spans="1:7" ht="24.75" customHeight="1" x14ac:dyDescent="0.2">
      <c r="A4" s="22" t="s">
        <v>2</v>
      </c>
      <c r="B4" s="20" t="s">
        <v>3</v>
      </c>
      <c r="C4" s="20" t="s">
        <v>9</v>
      </c>
      <c r="D4" s="20" t="s">
        <v>4</v>
      </c>
      <c r="E4" s="20" t="s">
        <v>5</v>
      </c>
      <c r="F4" s="20" t="s">
        <v>6</v>
      </c>
      <c r="G4" s="23" t="s">
        <v>13</v>
      </c>
    </row>
    <row r="5" spans="1:7" ht="24.75" customHeight="1" x14ac:dyDescent="0.2">
      <c r="A5" s="24" t="s">
        <v>7</v>
      </c>
      <c r="B5" s="12" t="s">
        <v>8</v>
      </c>
      <c r="C5" s="12"/>
      <c r="D5" s="18">
        <f>SUM(D6,D9,D12,D16,D23,D28,D29)/7</f>
        <v>0.94428571428571428</v>
      </c>
      <c r="E5" s="19">
        <v>44259</v>
      </c>
      <c r="F5" s="19">
        <v>44377</v>
      </c>
      <c r="G5" s="13" t="s">
        <v>14</v>
      </c>
    </row>
    <row r="6" spans="1:7" s="31" customFormat="1" ht="24.75" customHeight="1" x14ac:dyDescent="0.25">
      <c r="A6" s="25" t="s">
        <v>28</v>
      </c>
      <c r="B6" s="27" t="s">
        <v>8</v>
      </c>
      <c r="C6" s="27" t="s">
        <v>25</v>
      </c>
      <c r="D6" s="28">
        <f>SUM(D7:D8)/2</f>
        <v>1</v>
      </c>
      <c r="E6" s="29">
        <v>44259</v>
      </c>
      <c r="F6" s="19">
        <v>44280</v>
      </c>
      <c r="G6" s="30" t="s">
        <v>15</v>
      </c>
    </row>
    <row r="7" spans="1:7" ht="24.75" customHeight="1" x14ac:dyDescent="0.2">
      <c r="A7" s="14" t="s">
        <v>44</v>
      </c>
      <c r="B7" s="5"/>
      <c r="C7" s="5" t="s">
        <v>25</v>
      </c>
      <c r="D7" s="6">
        <v>1</v>
      </c>
      <c r="E7" s="7"/>
      <c r="F7" s="8"/>
      <c r="G7" s="9" t="s">
        <v>15</v>
      </c>
    </row>
    <row r="8" spans="1:7" ht="24.75" customHeight="1" x14ac:dyDescent="0.2">
      <c r="A8" s="14" t="s">
        <v>45</v>
      </c>
      <c r="B8" s="5"/>
      <c r="C8" s="5" t="s">
        <v>25</v>
      </c>
      <c r="D8" s="6">
        <v>1</v>
      </c>
      <c r="E8" s="7"/>
      <c r="F8" s="8"/>
      <c r="G8" s="9" t="s">
        <v>15</v>
      </c>
    </row>
    <row r="9" spans="1:7" s="31" customFormat="1" ht="24.75" customHeight="1" x14ac:dyDescent="0.25">
      <c r="A9" s="4" t="s">
        <v>29</v>
      </c>
      <c r="B9" s="27" t="s">
        <v>8</v>
      </c>
      <c r="C9" s="27" t="s">
        <v>25</v>
      </c>
      <c r="D9" s="28">
        <f>SUM(D10:D11)/2</f>
        <v>1</v>
      </c>
      <c r="E9" s="29">
        <v>44281</v>
      </c>
      <c r="F9" s="19">
        <v>44301</v>
      </c>
      <c r="G9" s="30" t="s">
        <v>17</v>
      </c>
    </row>
    <row r="10" spans="1:7" ht="24.75" customHeight="1" x14ac:dyDescent="0.2">
      <c r="A10" s="14" t="s">
        <v>46</v>
      </c>
      <c r="B10" s="5"/>
      <c r="C10" s="5" t="s">
        <v>25</v>
      </c>
      <c r="D10" s="6">
        <v>1</v>
      </c>
      <c r="E10" s="7"/>
      <c r="F10" s="8"/>
      <c r="G10" s="9" t="s">
        <v>17</v>
      </c>
    </row>
    <row r="11" spans="1:7" ht="24.75" customHeight="1" x14ac:dyDescent="0.2">
      <c r="A11" s="14" t="s">
        <v>47</v>
      </c>
      <c r="B11" s="5"/>
      <c r="C11" s="5" t="s">
        <v>25</v>
      </c>
      <c r="D11" s="6">
        <v>1</v>
      </c>
      <c r="E11" s="7"/>
      <c r="F11" s="8"/>
      <c r="G11" s="9" t="s">
        <v>17</v>
      </c>
    </row>
    <row r="12" spans="1:7" s="31" customFormat="1" ht="24.75" customHeight="1" x14ac:dyDescent="0.25">
      <c r="A12" s="4" t="s">
        <v>30</v>
      </c>
      <c r="B12" s="27" t="s">
        <v>8</v>
      </c>
      <c r="C12" s="27" t="s">
        <v>25</v>
      </c>
      <c r="D12" s="28">
        <f>SUM(D13:D15)/3</f>
        <v>1</v>
      </c>
      <c r="E12" s="29">
        <v>44302</v>
      </c>
      <c r="F12" s="19">
        <v>44315</v>
      </c>
      <c r="G12" s="30" t="s">
        <v>16</v>
      </c>
    </row>
    <row r="13" spans="1:7" ht="24.75" customHeight="1" x14ac:dyDescent="0.2">
      <c r="A13" s="15" t="s">
        <v>31</v>
      </c>
      <c r="B13" s="5"/>
      <c r="C13" s="5" t="s">
        <v>25</v>
      </c>
      <c r="D13" s="6">
        <v>1</v>
      </c>
      <c r="E13" s="7"/>
      <c r="F13" s="8"/>
      <c r="G13" s="9" t="s">
        <v>16</v>
      </c>
    </row>
    <row r="14" spans="1:7" ht="24.75" customHeight="1" x14ac:dyDescent="0.2">
      <c r="A14" s="15" t="s">
        <v>32</v>
      </c>
      <c r="B14" s="5"/>
      <c r="C14" s="5" t="s">
        <v>25</v>
      </c>
      <c r="D14" s="6">
        <v>1</v>
      </c>
      <c r="E14" s="7"/>
      <c r="F14" s="8"/>
      <c r="G14" s="9" t="s">
        <v>16</v>
      </c>
    </row>
    <row r="15" spans="1:7" ht="24.75" customHeight="1" x14ac:dyDescent="0.2">
      <c r="A15" s="15" t="s">
        <v>33</v>
      </c>
      <c r="B15" s="5"/>
      <c r="C15" s="5" t="s">
        <v>25</v>
      </c>
      <c r="D15" s="6">
        <v>1</v>
      </c>
      <c r="E15" s="7"/>
      <c r="F15" s="8"/>
      <c r="G15" s="9" t="s">
        <v>16</v>
      </c>
    </row>
    <row r="16" spans="1:7" s="31" customFormat="1" ht="24.75" customHeight="1" x14ac:dyDescent="0.25">
      <c r="A16" s="4" t="s">
        <v>34</v>
      </c>
      <c r="B16" s="27" t="s">
        <v>8</v>
      </c>
      <c r="C16" s="27" t="s">
        <v>25</v>
      </c>
      <c r="D16" s="28">
        <f>SUM(D17:D22)/6</f>
        <v>1</v>
      </c>
      <c r="E16" s="29">
        <v>44316</v>
      </c>
      <c r="F16" s="19">
        <v>44329</v>
      </c>
      <c r="G16" s="30" t="s">
        <v>21</v>
      </c>
    </row>
    <row r="17" spans="1:8" ht="24.75" customHeight="1" x14ac:dyDescent="0.2">
      <c r="A17" s="15" t="s">
        <v>35</v>
      </c>
      <c r="B17" s="5"/>
      <c r="C17" s="5" t="s">
        <v>25</v>
      </c>
      <c r="D17" s="6">
        <v>1</v>
      </c>
      <c r="E17" s="7"/>
      <c r="F17" s="8"/>
      <c r="G17" s="9" t="s">
        <v>21</v>
      </c>
    </row>
    <row r="18" spans="1:8" ht="24.75" customHeight="1" x14ac:dyDescent="0.2">
      <c r="A18" s="15" t="s">
        <v>36</v>
      </c>
      <c r="B18" s="5"/>
      <c r="C18" s="5" t="s">
        <v>25</v>
      </c>
      <c r="D18" s="6">
        <v>1</v>
      </c>
      <c r="E18" s="7"/>
      <c r="F18" s="8"/>
      <c r="G18" s="9" t="s">
        <v>21</v>
      </c>
    </row>
    <row r="19" spans="1:8" ht="24.75" customHeight="1" x14ac:dyDescent="0.2">
      <c r="A19" s="39" t="s">
        <v>38</v>
      </c>
      <c r="B19" s="5"/>
      <c r="C19" s="5" t="s">
        <v>25</v>
      </c>
      <c r="D19" s="6">
        <v>1</v>
      </c>
      <c r="E19" s="7"/>
      <c r="F19" s="8"/>
      <c r="G19" s="9" t="s">
        <v>21</v>
      </c>
    </row>
    <row r="20" spans="1:8" ht="24.75" customHeight="1" x14ac:dyDescent="0.2">
      <c r="A20" s="39" t="s">
        <v>39</v>
      </c>
      <c r="B20" s="5"/>
      <c r="C20" s="5" t="s">
        <v>26</v>
      </c>
      <c r="D20" s="6">
        <v>1</v>
      </c>
      <c r="E20" s="7"/>
      <c r="F20" s="8"/>
      <c r="G20" s="9" t="s">
        <v>21</v>
      </c>
    </row>
    <row r="21" spans="1:8" ht="24.75" customHeight="1" x14ac:dyDescent="0.2">
      <c r="A21" s="39" t="s">
        <v>40</v>
      </c>
      <c r="B21" s="5"/>
      <c r="C21" s="5" t="s">
        <v>26</v>
      </c>
      <c r="D21" s="6">
        <v>1</v>
      </c>
      <c r="E21" s="7"/>
      <c r="F21" s="8"/>
      <c r="G21" s="9" t="s">
        <v>21</v>
      </c>
    </row>
    <row r="22" spans="1:8" ht="24.75" customHeight="1" x14ac:dyDescent="0.2">
      <c r="A22" s="15" t="s">
        <v>37</v>
      </c>
      <c r="B22" s="5"/>
      <c r="C22" s="5" t="s">
        <v>25</v>
      </c>
      <c r="D22" s="6">
        <v>1</v>
      </c>
      <c r="E22" s="7"/>
      <c r="F22" s="8"/>
      <c r="G22" s="9" t="s">
        <v>21</v>
      </c>
      <c r="H22" s="11"/>
    </row>
    <row r="23" spans="1:8" s="31" customFormat="1" ht="24.75" customHeight="1" x14ac:dyDescent="0.25">
      <c r="A23" s="25" t="s">
        <v>41</v>
      </c>
      <c r="B23" s="27" t="s">
        <v>8</v>
      </c>
      <c r="C23" s="27" t="s">
        <v>25</v>
      </c>
      <c r="D23" s="28">
        <f>SUM(D24:D27)/4</f>
        <v>0.62</v>
      </c>
      <c r="E23" s="29">
        <v>44330</v>
      </c>
      <c r="F23" s="19">
        <v>44364</v>
      </c>
      <c r="G23" s="30" t="s">
        <v>18</v>
      </c>
    </row>
    <row r="24" spans="1:8" ht="24.75" customHeight="1" x14ac:dyDescent="0.2">
      <c r="A24" s="15" t="s">
        <v>48</v>
      </c>
      <c r="B24" s="5"/>
      <c r="C24" s="5" t="s">
        <v>25</v>
      </c>
      <c r="D24" s="6">
        <v>0.99</v>
      </c>
      <c r="E24" s="7"/>
      <c r="F24" s="8"/>
      <c r="G24" s="9" t="s">
        <v>18</v>
      </c>
    </row>
    <row r="25" spans="1:8" ht="24.75" customHeight="1" x14ac:dyDescent="0.2">
      <c r="A25" s="15" t="s">
        <v>49</v>
      </c>
      <c r="B25" s="5"/>
      <c r="C25" s="5" t="s">
        <v>25</v>
      </c>
      <c r="D25" s="6">
        <v>0.99</v>
      </c>
      <c r="E25" s="7"/>
      <c r="F25" s="8"/>
      <c r="G25" s="9" t="s">
        <v>18</v>
      </c>
    </row>
    <row r="26" spans="1:8" ht="24.75" customHeight="1" x14ac:dyDescent="0.2">
      <c r="A26" s="15" t="s">
        <v>52</v>
      </c>
      <c r="B26" s="5"/>
      <c r="C26" s="5" t="s">
        <v>26</v>
      </c>
      <c r="D26" s="6">
        <v>0.5</v>
      </c>
      <c r="E26" s="7"/>
      <c r="F26" s="8"/>
      <c r="G26" s="9" t="s">
        <v>18</v>
      </c>
    </row>
    <row r="27" spans="1:8" ht="24.75" customHeight="1" x14ac:dyDescent="0.2">
      <c r="A27" s="15" t="s">
        <v>50</v>
      </c>
      <c r="B27" s="5"/>
      <c r="C27" s="5" t="s">
        <v>11</v>
      </c>
      <c r="D27" s="6">
        <v>0</v>
      </c>
      <c r="E27" s="7"/>
      <c r="F27" s="8"/>
      <c r="G27" s="9" t="s">
        <v>18</v>
      </c>
    </row>
    <row r="28" spans="1:8" s="31" customFormat="1" ht="24.75" customHeight="1" x14ac:dyDescent="0.25">
      <c r="A28" s="4" t="s">
        <v>42</v>
      </c>
      <c r="B28" s="27" t="s">
        <v>8</v>
      </c>
      <c r="C28" s="27" t="s">
        <v>26</v>
      </c>
      <c r="D28" s="28">
        <v>0.99</v>
      </c>
      <c r="E28" s="29">
        <v>44258</v>
      </c>
      <c r="F28" s="19">
        <v>44376</v>
      </c>
      <c r="G28" s="30" t="s">
        <v>17</v>
      </c>
    </row>
    <row r="29" spans="1:8" s="31" customFormat="1" ht="24.75" customHeight="1" x14ac:dyDescent="0.25">
      <c r="A29" s="4" t="s">
        <v>43</v>
      </c>
      <c r="B29" s="27" t="s">
        <v>8</v>
      </c>
      <c r="C29" s="27" t="s">
        <v>25</v>
      </c>
      <c r="D29" s="28">
        <v>1</v>
      </c>
      <c r="E29" s="29">
        <v>44365</v>
      </c>
      <c r="F29" s="19">
        <v>44375</v>
      </c>
      <c r="G29" s="30" t="s">
        <v>22</v>
      </c>
    </row>
    <row r="30" spans="1:8" s="31" customFormat="1" ht="24.75" customHeight="1" x14ac:dyDescent="0.25">
      <c r="A30" s="37" t="s">
        <v>51</v>
      </c>
      <c r="B30" s="38"/>
      <c r="C30" s="5" t="s">
        <v>25</v>
      </c>
      <c r="D30" s="6">
        <v>1</v>
      </c>
      <c r="E30" s="38"/>
      <c r="F30" s="8"/>
      <c r="G30" s="9" t="s">
        <v>16</v>
      </c>
    </row>
    <row r="31" spans="1:8" s="31" customFormat="1" ht="24.75" customHeight="1" thickBot="1" x14ac:dyDescent="0.3">
      <c r="A31" s="26" t="s">
        <v>53</v>
      </c>
      <c r="B31" s="32" t="s">
        <v>8</v>
      </c>
      <c r="C31" s="32" t="s">
        <v>26</v>
      </c>
      <c r="D31" s="36">
        <f>SUM(D6,D9,D12,D16,D23,D28,D29)/7</f>
        <v>0.94428571428571428</v>
      </c>
      <c r="E31" s="33">
        <v>44259</v>
      </c>
      <c r="F31" s="34">
        <v>44376</v>
      </c>
      <c r="G31" s="35" t="s">
        <v>14</v>
      </c>
    </row>
    <row r="32" spans="1:8" ht="24.75" customHeight="1" x14ac:dyDescent="0.2">
      <c r="A32" s="2"/>
      <c r="B32" s="2"/>
      <c r="C32" s="2"/>
      <c r="D32" s="2"/>
      <c r="E32" s="2"/>
      <c r="F32" s="2"/>
    </row>
    <row r="33" spans="3:3" ht="15" x14ac:dyDescent="0.2">
      <c r="C33" s="1"/>
    </row>
    <row r="34" spans="3:3" ht="15" x14ac:dyDescent="0.2">
      <c r="C34" s="1"/>
    </row>
    <row r="35" spans="3:3" ht="15" x14ac:dyDescent="0.2">
      <c r="C35" s="1"/>
    </row>
    <row r="36" spans="3:3" ht="15" x14ac:dyDescent="0.2">
      <c r="C36" s="1"/>
    </row>
  </sheetData>
  <mergeCells count="2">
    <mergeCell ref="B1:B3"/>
    <mergeCell ref="C1:G3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Plan2!$A$1:$A$11</xm:f>
          </x14:formula1>
          <xm:sqref>G5:G31</xm:sqref>
        </x14:dataValidation>
        <x14:dataValidation type="list" allowBlank="1" showInputMessage="1" showErrorMessage="1">
          <x14:formula1>
            <xm:f>Plan2!$B$1:$B$3</xm:f>
          </x14:formula1>
          <xm:sqref>C6:C31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:B3"/>
    </sheetView>
  </sheetViews>
  <sheetFormatPr defaultRowHeight="15" x14ac:dyDescent="0.2"/>
  <cols>
    <col min="1" max="1" width="19.28515625" style="2" bestFit="1" customWidth="1"/>
    <col min="2" max="2" width="10.5703125" style="2" bestFit="1" customWidth="1"/>
    <col min="3" max="16384" width="9.140625" style="2"/>
  </cols>
  <sheetData>
    <row r="1" spans="1:2" x14ac:dyDescent="0.2">
      <c r="A1" s="2" t="s">
        <v>14</v>
      </c>
      <c r="B1" s="3" t="s">
        <v>11</v>
      </c>
    </row>
    <row r="2" spans="1:2" x14ac:dyDescent="0.2">
      <c r="A2" s="2" t="s">
        <v>15</v>
      </c>
      <c r="B2" s="3" t="s">
        <v>26</v>
      </c>
    </row>
    <row r="3" spans="1:2" x14ac:dyDescent="0.2">
      <c r="A3" s="2" t="s">
        <v>16</v>
      </c>
      <c r="B3" s="3" t="s">
        <v>25</v>
      </c>
    </row>
    <row r="4" spans="1:2" x14ac:dyDescent="0.2">
      <c r="A4" s="2" t="s">
        <v>17</v>
      </c>
    </row>
    <row r="5" spans="1:2" x14ac:dyDescent="0.2">
      <c r="A5" s="2" t="s">
        <v>18</v>
      </c>
    </row>
    <row r="6" spans="1:2" x14ac:dyDescent="0.2">
      <c r="A6" s="2" t="s">
        <v>19</v>
      </c>
    </row>
    <row r="7" spans="1:2" x14ac:dyDescent="0.2">
      <c r="A7" s="2" t="s">
        <v>20</v>
      </c>
    </row>
    <row r="8" spans="1:2" x14ac:dyDescent="0.2">
      <c r="A8" s="2" t="s">
        <v>21</v>
      </c>
    </row>
    <row r="9" spans="1:2" x14ac:dyDescent="0.2">
      <c r="A9" s="2" t="s">
        <v>22</v>
      </c>
    </row>
    <row r="10" spans="1:2" x14ac:dyDescent="0.2">
      <c r="A10" s="2" t="s">
        <v>23</v>
      </c>
    </row>
    <row r="11" spans="1:2" x14ac:dyDescent="0.2">
      <c r="A11" s="2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BALCAO - 202</cp:lastModifiedBy>
  <dcterms:created xsi:type="dcterms:W3CDTF">2021-03-21T23:23:17Z</dcterms:created>
  <dcterms:modified xsi:type="dcterms:W3CDTF">2021-07-01T21:03:40Z</dcterms:modified>
</cp:coreProperties>
</file>